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grity360-my.sharepoint.com/personal/melissa_araujo_integrity360_com/Documents/Desktop/"/>
    </mc:Choice>
  </mc:AlternateContent>
  <xr:revisionPtr revIDLastSave="0" documentId="8_{9C701B36-E175-4938-9B9F-497B90ABF3C0}" xr6:coauthVersionLast="47" xr6:coauthVersionMax="47" xr10:uidLastSave="{00000000-0000-0000-0000-000000000000}"/>
  <bookViews>
    <workbookView xWindow="3870" yWindow="3420" windowWidth="21120" windowHeight="12645" xr2:uid="{00000000-000D-0000-FFFF-FFFF00000000}"/>
  </bookViews>
  <sheets>
    <sheet name="BOM OF MATERIA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K9" i="1" s="1"/>
  <c r="N9" i="1" s="1"/>
  <c r="M9" i="1" s="1"/>
  <c r="I33" i="1"/>
  <c r="K33" i="1" s="1"/>
  <c r="N33" i="1" s="1"/>
  <c r="M33" i="1" s="1"/>
  <c r="I32" i="1"/>
  <c r="K32" i="1" s="1"/>
  <c r="N32" i="1" s="1"/>
  <c r="M32" i="1" s="1"/>
  <c r="I31" i="1"/>
  <c r="K31" i="1" s="1"/>
  <c r="N31" i="1" s="1"/>
  <c r="M31" i="1" s="1"/>
  <c r="I30" i="1"/>
  <c r="K30" i="1" s="1"/>
  <c r="N30" i="1" s="1"/>
  <c r="M30" i="1" s="1"/>
  <c r="I29" i="1"/>
  <c r="K29" i="1" s="1"/>
  <c r="N29" i="1" s="1"/>
  <c r="M29" i="1" s="1"/>
  <c r="I28" i="1"/>
  <c r="K28" i="1" s="1"/>
  <c r="N28" i="1" s="1"/>
  <c r="M28" i="1" s="1"/>
  <c r="I27" i="1"/>
  <c r="K27" i="1" s="1"/>
  <c r="N27" i="1" s="1"/>
  <c r="M27" i="1" s="1"/>
  <c r="I26" i="1"/>
  <c r="K26" i="1" s="1"/>
  <c r="N26" i="1" s="1"/>
  <c r="M26" i="1" s="1"/>
  <c r="I25" i="1"/>
  <c r="K25" i="1" s="1"/>
  <c r="N25" i="1" s="1"/>
  <c r="M25" i="1" s="1"/>
  <c r="I24" i="1"/>
  <c r="K24" i="1" s="1"/>
  <c r="N24" i="1" s="1"/>
  <c r="M24" i="1" s="1"/>
  <c r="I23" i="1"/>
  <c r="K23" i="1" s="1"/>
  <c r="N23" i="1" s="1"/>
  <c r="M23" i="1" s="1"/>
  <c r="I22" i="1"/>
  <c r="K22" i="1" s="1"/>
  <c r="N22" i="1" s="1"/>
  <c r="M22" i="1" s="1"/>
  <c r="I21" i="1"/>
  <c r="K21" i="1" s="1"/>
  <c r="N21" i="1" s="1"/>
  <c r="M21" i="1" s="1"/>
  <c r="I20" i="1"/>
  <c r="K20" i="1" s="1"/>
  <c r="N20" i="1" s="1"/>
  <c r="M20" i="1" s="1"/>
  <c r="I19" i="1"/>
  <c r="K19" i="1" s="1"/>
  <c r="N19" i="1" s="1"/>
  <c r="M19" i="1" s="1"/>
  <c r="I18" i="1"/>
  <c r="K18" i="1" s="1"/>
  <c r="N18" i="1" s="1"/>
  <c r="M18" i="1" s="1"/>
  <c r="I17" i="1"/>
  <c r="K17" i="1" s="1"/>
  <c r="N17" i="1" s="1"/>
  <c r="M17" i="1" s="1"/>
  <c r="I16" i="1"/>
  <c r="K16" i="1" s="1"/>
  <c r="N16" i="1" s="1"/>
  <c r="M16" i="1" s="1"/>
  <c r="I15" i="1"/>
  <c r="K15" i="1" s="1"/>
  <c r="N15" i="1" s="1"/>
  <c r="M15" i="1" s="1"/>
  <c r="I14" i="1"/>
  <c r="K14" i="1" s="1"/>
  <c r="N14" i="1" s="1"/>
  <c r="M14" i="1" s="1"/>
  <c r="I13" i="1"/>
  <c r="K13" i="1" s="1"/>
  <c r="N13" i="1" s="1"/>
  <c r="M13" i="1" s="1"/>
  <c r="I11" i="1"/>
  <c r="K11" i="1" s="1"/>
  <c r="N11" i="1" s="1"/>
  <c r="M11" i="1" s="1"/>
  <c r="I10" i="1"/>
  <c r="K10" i="1" s="1"/>
  <c r="N10" i="1" s="1"/>
  <c r="M10" i="1" s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1" i="1"/>
  <c r="H10" i="1"/>
  <c r="H9" i="1"/>
  <c r="N36" i="1"/>
  <c r="M36" i="1"/>
  <c r="K36" i="1"/>
</calcChain>
</file>

<file path=xl/sharedStrings.xml><?xml version="1.0" encoding="utf-8"?>
<sst xmlns="http://schemas.openxmlformats.org/spreadsheetml/2006/main" count="125" uniqueCount="102">
  <si>
    <t>Exertis Quotation</t>
  </si>
  <si>
    <t>Quote Reference:</t>
  </si>
  <si>
    <t>LIC-C9300-24E-1Y</t>
  </si>
  <si>
    <t>Quote Number:</t>
  </si>
  <si>
    <t>DID 82669114</t>
  </si>
  <si>
    <t>Date:</t>
  </si>
  <si>
    <t>Expiry Date:</t>
  </si>
  <si>
    <t>Customer:</t>
  </si>
  <si>
    <t>Electric-petrol</t>
  </si>
  <si>
    <t>Item</t>
  </si>
  <si>
    <t>Description</t>
  </si>
  <si>
    <t>Manufacturer</t>
  </si>
  <si>
    <t>Make</t>
  </si>
  <si>
    <t>Model</t>
  </si>
  <si>
    <t>Net Price Each (€)</t>
  </si>
  <si>
    <t>VAT %</t>
  </si>
  <si>
    <t>VAT Amount (€)</t>
  </si>
  <si>
    <t>Gross (Each) (€)</t>
  </si>
  <si>
    <t>Qty</t>
  </si>
  <si>
    <t>Total (Gross) (€)</t>
  </si>
  <si>
    <t>Margin %</t>
  </si>
  <si>
    <t>Profit (€)</t>
  </si>
  <si>
    <t>Customer Price (€)</t>
  </si>
  <si>
    <t>19" Wall Cabinet (12U) incl. accessories</t>
  </si>
  <si>
    <t>Generic</t>
  </si>
  <si>
    <t>Wallmount</t>
  </si>
  <si>
    <t>12U Ventilated</t>
  </si>
  <si>
    <t>Uninterruptable Power Supply (UPS)</t>
  </si>
  <si>
    <t>APC</t>
  </si>
  <si>
    <t>Smart-UPS</t>
  </si>
  <si>
    <t>SMT1500</t>
  </si>
  <si>
    <t>Power Distribution Unit (PDU) 8-way</t>
  </si>
  <si>
    <t>Rack PDU</t>
  </si>
  <si>
    <t>Basic 8-way</t>
  </si>
  <si>
    <t>ISP Modem / ONT</t>
  </si>
  <si>
    <t>ISP</t>
  </si>
  <si>
    <t>Provider</t>
  </si>
  <si>
    <t>Model per ISP</t>
  </si>
  <si>
    <t>–</t>
  </si>
  <si>
    <t>Firewall (branch)</t>
  </si>
  <si>
    <t>Fortinet</t>
  </si>
  <si>
    <t>FortiGate</t>
  </si>
  <si>
    <t>60F (or equiv.)</t>
  </si>
  <si>
    <t>Patch Panel Cat6 24-port</t>
  </si>
  <si>
    <t>Cat6</t>
  </si>
  <si>
    <t>24-port</t>
  </si>
  <si>
    <t>Cat6 Keystone Jacks (tool-less)</t>
  </si>
  <si>
    <t>RJ45 Keystone</t>
  </si>
  <si>
    <t>Faceplates / Backboxes (single/double)</t>
  </si>
  <si>
    <t>Wallplate</t>
  </si>
  <si>
    <t>1–2 gang</t>
  </si>
  <si>
    <t>Cat6A U/UTP Bulk Cable 305m box</t>
  </si>
  <si>
    <t>Cat6A</t>
  </si>
  <si>
    <t>305m</t>
  </si>
  <si>
    <t>Cat6 Patch Cords 2m (rack)</t>
  </si>
  <si>
    <t>2m</t>
  </si>
  <si>
    <t>Cat6 Patch Cords 3m (user)</t>
  </si>
  <si>
    <t>3m</t>
  </si>
  <si>
    <t>Access Switch 48-port PoE+ (floor)</t>
  </si>
  <si>
    <t>Cisco</t>
  </si>
  <si>
    <t>Catalyst</t>
  </si>
  <si>
    <t>9200-48P-4G</t>
  </si>
  <si>
    <t>Access Switch 24-port PoE+</t>
  </si>
  <si>
    <t>9200-24P-4G</t>
  </si>
  <si>
    <t>Racks/Power/Extenders (as specified)</t>
  </si>
  <si>
    <t>Ethernet</t>
  </si>
  <si>
    <t>1GbE</t>
  </si>
  <si>
    <t>Wireless Access Point (hardware)</t>
  </si>
  <si>
    <t>Ubiquiti</t>
  </si>
  <si>
    <t>UniFi</t>
  </si>
  <si>
    <t>U6-LR</t>
  </si>
  <si>
    <t>CCTV Camera (PoE) – internal</t>
  </si>
  <si>
    <t>Hikvision</t>
  </si>
  <si>
    <t>Dome</t>
  </si>
  <si>
    <t>2MP/4MP PoE</t>
  </si>
  <si>
    <t>Fiber Backbone Cable OM4 12-core</t>
  </si>
  <si>
    <t>OM4</t>
  </si>
  <si>
    <t>12-core</t>
  </si>
  <si>
    <t>Fiber Patch Panel / Enclosure (LC)</t>
  </si>
  <si>
    <t>Fiber Panel</t>
  </si>
  <si>
    <t>24 LC</t>
  </si>
  <si>
    <t>LC Duplex Pigtails</t>
  </si>
  <si>
    <t>LC</t>
  </si>
  <si>
    <t>LC-LC Duplex Patch Leads 2m</t>
  </si>
  <si>
    <t>LC-LC 2m</t>
  </si>
  <si>
    <t>SFP/SFP+ Transceivers (MM)</t>
  </si>
  <si>
    <t>Cisco/Generic</t>
  </si>
  <si>
    <t>SFP</t>
  </si>
  <si>
    <t>1G/10G MM</t>
  </si>
  <si>
    <t>Containment: Basket tray / trunking</t>
  </si>
  <si>
    <t>Cable Tray</t>
  </si>
  <si>
    <t>100mm</t>
  </si>
  <si>
    <t>Consumables: labels, Velcro, fixings</t>
  </si>
  <si>
    <t>Install</t>
  </si>
  <si>
    <t>Consumables</t>
  </si>
  <si>
    <t>Labour – Installers (per hour)</t>
  </si>
  <si>
    <t>N/A</t>
  </si>
  <si>
    <t>Labour</t>
  </si>
  <si>
    <t>Installer</t>
  </si>
  <si>
    <t>Labour – Consultant/Design (per hour)</t>
  </si>
  <si>
    <t>Consultant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</si>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</sst>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Calibri"/>
      <family val="2"/>
      <scheme val="minor"/>
    </font>
    <font>
      <b/>
      <i/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4" fontId="0" fillId="2" borderId="0" xfId="0" applyNumberFormat="1" applyFill="1" applyAlignment="1">
      <alignment horizontal="center"/>
    </xf>
    <xf numFmtId="0" fontId="3" fillId="3" borderId="0" xfId="0" applyFont="1" applyFill="1" applyAlignment="1">
      <alignment horizontal="center"/>
    </xf>
    <xf numFmtId="10" fontId="0" fillId="2" borderId="0" xfId="0" applyNumberFormat="1" applyFill="1" applyAlignment="1">
      <alignment horizontal="center"/>
    </xf>
    <xf numFmtId="0" fontId="4" fillId="2" borderId="0" xfId="0" applyFont="1" applyFill="1" applyAlignment="1">
      <alignment horizontal="center"/>
    </xf>
    <xf numFmtId="10" fontId="2" fillId="4" borderId="0" xfId="0" applyNumberFormat="1" applyFont="1" applyFill="1" applyAlignment="1">
      <alignment horizontal="center"/>
    </xf>
    <xf numFmtId="0" fontId="0" fillId="2" borderId="0" xfId="0" applyFill="1" applyAlignment="1">
      <alignment horizontal="left"/>
    </xf>
    <xf numFmtId="15" fontId="0" fillId="2" borderId="0" xfId="0" applyNumberFormat="1" applyFill="1" applyAlignment="1">
      <alignment horizontal="center"/>
    </xf>
    <xf numFmtId="0" fontId="5" fillId="0" borderId="0" xfId="0" applyFont="1"/>
    <xf numFmtId="164" fontId="2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workbookViewId="0"/>
  </sheetViews>
  <sheetFormatPr defaultColWidth="12" defaultRowHeight="15" x14ac:dyDescent="0.25"/>
  <cols>
    <col min="1" max="1" width="17.28515625" style="1" customWidth="1"/>
    <col min="2" max="2" width="45.28515625" style="1" customWidth="1"/>
    <col min="3" max="5" width="12" style="1"/>
    <col min="6" max="6" width="14.85546875" style="1" customWidth="1"/>
    <col min="7" max="7" width="17" style="1" customWidth="1"/>
    <col min="8" max="8" width="20" style="1" customWidth="1"/>
    <col min="9" max="9" width="16.7109375" style="1" customWidth="1"/>
    <col min="10" max="10" width="12" style="1"/>
    <col min="11" max="11" width="12.42578125" style="1" bestFit="1" customWidth="1"/>
    <col min="12" max="13" width="12" style="1"/>
    <col min="14" max="14" width="15.85546875" style="1" customWidth="1"/>
    <col min="15" max="16384" width="12" style="1"/>
  </cols>
  <sheetData>
    <row r="1" spans="1:16" ht="23.25" x14ac:dyDescent="0.35">
      <c r="A1" s="12" t="s">
        <v>0</v>
      </c>
    </row>
    <row r="2" spans="1:16" x14ac:dyDescent="0.25">
      <c r="A2" s="1" t="s">
        <v>1</v>
      </c>
      <c r="B2" s="1" t="s">
        <v>2</v>
      </c>
    </row>
    <row r="3" spans="1:16" x14ac:dyDescent="0.25">
      <c r="A3" s="10" t="s">
        <v>3</v>
      </c>
      <c r="B3" s="1" t="s">
        <v>4</v>
      </c>
    </row>
    <row r="4" spans="1:16" x14ac:dyDescent="0.25">
      <c r="A4" s="1" t="s">
        <v>5</v>
      </c>
      <c r="B4" s="11">
        <v>46047</v>
      </c>
    </row>
    <row r="5" spans="1:16" x14ac:dyDescent="0.25">
      <c r="A5" s="1" t="s">
        <v>6</v>
      </c>
      <c r="B5" s="11">
        <v>46104</v>
      </c>
    </row>
    <row r="6" spans="1:16" x14ac:dyDescent="0.25">
      <c r="A6" s="1" t="s">
        <v>7</v>
      </c>
      <c r="B6" s="1" t="s">
        <v>8</v>
      </c>
    </row>
    <row r="8" spans="1:16" x14ac:dyDescent="0.25">
      <c r="A8" s="6" t="s">
        <v>9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  <c r="K8" s="6" t="s">
        <v>19</v>
      </c>
      <c r="L8" s="6" t="s">
        <v>20</v>
      </c>
      <c r="M8" s="6" t="s">
        <v>21</v>
      </c>
      <c r="N8" s="6" t="s">
        <v>22</v>
      </c>
    </row>
    <row r="9" spans="1:16" x14ac:dyDescent="0.25">
      <c r="A9" s="2">
        <v>1</v>
      </c>
      <c r="B9" s="2" t="s">
        <v>23</v>
      </c>
      <c r="C9" s="2" t="s">
        <v>24</v>
      </c>
      <c r="D9" s="2" t="s">
        <v>25</v>
      </c>
      <c r="E9" s="2" t="s">
        <v>26</v>
      </c>
      <c r="F9" s="13">
        <v>850</v>
      </c>
      <c r="G9" s="9">
        <v>0.23</v>
      </c>
      <c r="H9" s="14">
        <f t="shared" ref="H9:H33" si="0">F9*G9</f>
        <v>195.5</v>
      </c>
      <c r="I9" s="13">
        <f>F9+(F9*(23/100))</f>
        <v>1045.5</v>
      </c>
      <c r="J9" s="2">
        <v>2</v>
      </c>
      <c r="K9" s="13">
        <f t="shared" ref="K9:K33" si="1">I9*J9</f>
        <v>2091</v>
      </c>
      <c r="L9" s="9">
        <v>0.25</v>
      </c>
      <c r="M9" s="15">
        <f t="shared" ref="M9:M33" si="2">N9-K9</f>
        <v>522.75</v>
      </c>
      <c r="N9" s="16">
        <f t="shared" ref="N9:N33" si="3">K9+(K9*(L9))</f>
        <v>2613.75</v>
      </c>
      <c r="P9" s="5"/>
    </row>
    <row r="10" spans="1:16" x14ac:dyDescent="0.25">
      <c r="A10" s="2">
        <v>2</v>
      </c>
      <c r="B10" s="2" t="s">
        <v>27</v>
      </c>
      <c r="C10" s="2" t="s">
        <v>28</v>
      </c>
      <c r="D10" s="2" t="s">
        <v>29</v>
      </c>
      <c r="E10" s="2" t="s">
        <v>30</v>
      </c>
      <c r="F10" s="13">
        <v>650</v>
      </c>
      <c r="G10" s="9">
        <v>0.23</v>
      </c>
      <c r="H10" s="14">
        <f t="shared" si="0"/>
        <v>149.5</v>
      </c>
      <c r="I10" s="13">
        <f t="shared" ref="I10:I33" si="4">F10+(F10*(23/100))</f>
        <v>799.5</v>
      </c>
      <c r="J10" s="2">
        <v>2</v>
      </c>
      <c r="K10" s="13">
        <f t="shared" si="1"/>
        <v>1599</v>
      </c>
      <c r="L10" s="9">
        <v>0.2</v>
      </c>
      <c r="M10" s="15">
        <f t="shared" si="2"/>
        <v>319.79999999999995</v>
      </c>
      <c r="N10" s="16">
        <f t="shared" si="3"/>
        <v>1918.8</v>
      </c>
      <c r="P10" s="5"/>
    </row>
    <row r="11" spans="1:16" x14ac:dyDescent="0.25">
      <c r="A11" s="2">
        <v>3</v>
      </c>
      <c r="B11" s="2" t="s">
        <v>31</v>
      </c>
      <c r="C11" s="2" t="s">
        <v>28</v>
      </c>
      <c r="D11" s="2" t="s">
        <v>32</v>
      </c>
      <c r="E11" s="2" t="s">
        <v>33</v>
      </c>
      <c r="F11" s="13">
        <v>120</v>
      </c>
      <c r="G11" s="9">
        <v>0.23</v>
      </c>
      <c r="H11" s="14">
        <f t="shared" si="0"/>
        <v>27.6</v>
      </c>
      <c r="I11" s="13">
        <f t="shared" si="4"/>
        <v>147.6</v>
      </c>
      <c r="J11" s="2">
        <v>2</v>
      </c>
      <c r="K11" s="13">
        <f t="shared" si="1"/>
        <v>295.2</v>
      </c>
      <c r="L11" s="9">
        <v>0.2</v>
      </c>
      <c r="M11" s="15">
        <f t="shared" si="2"/>
        <v>59.04000000000002</v>
      </c>
      <c r="N11" s="16">
        <f t="shared" si="3"/>
        <v>354.24</v>
      </c>
      <c r="P11" s="5"/>
    </row>
    <row r="12" spans="1:16" x14ac:dyDescent="0.25">
      <c r="A12" s="2">
        <v>4</v>
      </c>
      <c r="B12" s="2" t="s">
        <v>34</v>
      </c>
      <c r="C12" s="2" t="s">
        <v>35</v>
      </c>
      <c r="D12" s="2" t="s">
        <v>36</v>
      </c>
      <c r="E12" s="2" t="s">
        <v>37</v>
      </c>
      <c r="F12" s="13" t="s">
        <v>38</v>
      </c>
      <c r="G12" s="9">
        <v>0.23</v>
      </c>
      <c r="H12" s="14"/>
      <c r="I12" s="13"/>
      <c r="J12" s="2">
        <v>2</v>
      </c>
      <c r="K12" s="13"/>
      <c r="L12" s="9">
        <v>0</v>
      </c>
      <c r="M12" s="15"/>
      <c r="N12" s="16"/>
      <c r="P12" s="5"/>
    </row>
    <row r="13" spans="1:16" x14ac:dyDescent="0.25">
      <c r="A13" s="2">
        <v>5</v>
      </c>
      <c r="B13" s="2" t="s">
        <v>39</v>
      </c>
      <c r="C13" s="2" t="s">
        <v>40</v>
      </c>
      <c r="D13" s="2" t="s">
        <v>41</v>
      </c>
      <c r="E13" s="2" t="s">
        <v>42</v>
      </c>
      <c r="F13" s="13">
        <v>750</v>
      </c>
      <c r="G13" s="9">
        <v>0.23</v>
      </c>
      <c r="H13" s="14">
        <f t="shared" si="0"/>
        <v>172.5</v>
      </c>
      <c r="I13" s="13">
        <f t="shared" si="4"/>
        <v>922.5</v>
      </c>
      <c r="J13" s="2">
        <v>1</v>
      </c>
      <c r="K13" s="13">
        <f t="shared" si="1"/>
        <v>922.5</v>
      </c>
      <c r="L13" s="9">
        <v>0.25</v>
      </c>
      <c r="M13" s="15">
        <f t="shared" si="2"/>
        <v>230.625</v>
      </c>
      <c r="N13" s="16">
        <f t="shared" si="3"/>
        <v>1153.125</v>
      </c>
      <c r="P13" s="5"/>
    </row>
    <row r="14" spans="1:16" x14ac:dyDescent="0.25">
      <c r="A14" s="2">
        <v>6</v>
      </c>
      <c r="B14" s="2" t="s">
        <v>43</v>
      </c>
      <c r="C14" s="2" t="s">
        <v>24</v>
      </c>
      <c r="D14" s="2" t="s">
        <v>44</v>
      </c>
      <c r="E14" s="2" t="s">
        <v>45</v>
      </c>
      <c r="F14" s="13">
        <v>85</v>
      </c>
      <c r="G14" s="9">
        <v>0.23</v>
      </c>
      <c r="H14" s="14">
        <f t="shared" si="0"/>
        <v>19.55</v>
      </c>
      <c r="I14" s="13">
        <f t="shared" si="4"/>
        <v>104.55</v>
      </c>
      <c r="J14" s="2">
        <v>4</v>
      </c>
      <c r="K14" s="13">
        <f t="shared" si="1"/>
        <v>418.2</v>
      </c>
      <c r="L14" s="9">
        <v>0.25</v>
      </c>
      <c r="M14" s="15">
        <f t="shared" si="2"/>
        <v>104.55000000000001</v>
      </c>
      <c r="N14" s="16">
        <f t="shared" si="3"/>
        <v>522.75</v>
      </c>
      <c r="P14" s="5"/>
    </row>
    <row r="15" spans="1:16" x14ac:dyDescent="0.25">
      <c r="A15" s="2">
        <v>7</v>
      </c>
      <c r="B15" s="2" t="s">
        <v>46</v>
      </c>
      <c r="C15" s="2" t="s">
        <v>24</v>
      </c>
      <c r="D15" s="2" t="s">
        <v>44</v>
      </c>
      <c r="E15" s="2" t="s">
        <v>47</v>
      </c>
      <c r="F15" s="13">
        <v>3.5</v>
      </c>
      <c r="G15" s="9">
        <v>0.23</v>
      </c>
      <c r="H15" s="14">
        <f t="shared" si="0"/>
        <v>0.80500000000000005</v>
      </c>
      <c r="I15" s="13">
        <f t="shared" si="4"/>
        <v>4.3049999999999997</v>
      </c>
      <c r="J15" s="2">
        <v>95</v>
      </c>
      <c r="K15" s="13">
        <f t="shared" si="1"/>
        <v>408.97499999999997</v>
      </c>
      <c r="L15" s="9">
        <v>0.25</v>
      </c>
      <c r="M15" s="15">
        <f t="shared" si="2"/>
        <v>102.24374999999998</v>
      </c>
      <c r="N15" s="16">
        <f t="shared" si="3"/>
        <v>511.21874999999994</v>
      </c>
      <c r="P15" s="5"/>
    </row>
    <row r="16" spans="1:16" x14ac:dyDescent="0.25">
      <c r="A16" s="2">
        <v>8</v>
      </c>
      <c r="B16" s="2" t="s">
        <v>48</v>
      </c>
      <c r="C16" s="2" t="s">
        <v>24</v>
      </c>
      <c r="D16" s="2" t="s">
        <v>49</v>
      </c>
      <c r="E16" s="2" t="s">
        <v>50</v>
      </c>
      <c r="F16" s="13">
        <v>2.5</v>
      </c>
      <c r="G16" s="9">
        <v>0.23</v>
      </c>
      <c r="H16" s="14">
        <f t="shared" si="0"/>
        <v>0.57500000000000007</v>
      </c>
      <c r="I16" s="13">
        <f t="shared" si="4"/>
        <v>3.0750000000000002</v>
      </c>
      <c r="J16" s="2">
        <v>95</v>
      </c>
      <c r="K16" s="13">
        <f t="shared" si="1"/>
        <v>292.125</v>
      </c>
      <c r="L16" s="9">
        <v>0.25</v>
      </c>
      <c r="M16" s="15">
        <f t="shared" si="2"/>
        <v>73.03125</v>
      </c>
      <c r="N16" s="16">
        <f t="shared" si="3"/>
        <v>365.15625</v>
      </c>
      <c r="P16" s="5"/>
    </row>
    <row r="17" spans="1:16" x14ac:dyDescent="0.25">
      <c r="A17" s="2">
        <v>9</v>
      </c>
      <c r="B17" s="2" t="s">
        <v>51</v>
      </c>
      <c r="C17" s="2" t="s">
        <v>24</v>
      </c>
      <c r="D17" s="2" t="s">
        <v>52</v>
      </c>
      <c r="E17" s="2" t="s">
        <v>53</v>
      </c>
      <c r="F17" s="13">
        <v>155</v>
      </c>
      <c r="G17" s="9">
        <v>0.23</v>
      </c>
      <c r="H17" s="14">
        <f t="shared" si="0"/>
        <v>35.65</v>
      </c>
      <c r="I17" s="13">
        <f t="shared" si="4"/>
        <v>190.65</v>
      </c>
      <c r="J17" s="2">
        <v>12</v>
      </c>
      <c r="K17" s="13">
        <f t="shared" si="1"/>
        <v>2287.8000000000002</v>
      </c>
      <c r="L17" s="9">
        <v>0.2</v>
      </c>
      <c r="M17" s="15">
        <f t="shared" si="2"/>
        <v>457.55999999999995</v>
      </c>
      <c r="N17" s="16">
        <f t="shared" si="3"/>
        <v>2745.36</v>
      </c>
      <c r="P17" s="5"/>
    </row>
    <row r="18" spans="1:16" x14ac:dyDescent="0.25">
      <c r="A18" s="2">
        <v>10</v>
      </c>
      <c r="B18" s="2" t="s">
        <v>54</v>
      </c>
      <c r="C18" s="2" t="s">
        <v>24</v>
      </c>
      <c r="D18" s="2" t="s">
        <v>44</v>
      </c>
      <c r="E18" s="2" t="s">
        <v>55</v>
      </c>
      <c r="F18" s="13">
        <v>4</v>
      </c>
      <c r="G18" s="9">
        <v>0.23</v>
      </c>
      <c r="H18" s="14">
        <f t="shared" si="0"/>
        <v>0.92</v>
      </c>
      <c r="I18" s="13">
        <f t="shared" si="4"/>
        <v>4.92</v>
      </c>
      <c r="J18" s="2">
        <v>120</v>
      </c>
      <c r="K18" s="13">
        <f t="shared" si="1"/>
        <v>590.4</v>
      </c>
      <c r="L18" s="9">
        <v>0.2</v>
      </c>
      <c r="M18" s="15">
        <f t="shared" si="2"/>
        <v>118.08000000000004</v>
      </c>
      <c r="N18" s="16">
        <f t="shared" si="3"/>
        <v>708.48</v>
      </c>
      <c r="P18" s="5"/>
    </row>
    <row r="19" spans="1:16" x14ac:dyDescent="0.25">
      <c r="A19" s="2">
        <v>11</v>
      </c>
      <c r="B19" s="2" t="s">
        <v>56</v>
      </c>
      <c r="C19" s="2" t="s">
        <v>24</v>
      </c>
      <c r="D19" s="2" t="s">
        <v>44</v>
      </c>
      <c r="E19" s="2" t="s">
        <v>57</v>
      </c>
      <c r="F19" s="13">
        <v>5</v>
      </c>
      <c r="G19" s="9">
        <v>0.23</v>
      </c>
      <c r="H19" s="14">
        <f t="shared" si="0"/>
        <v>1.1500000000000001</v>
      </c>
      <c r="I19" s="13">
        <f t="shared" si="4"/>
        <v>6.15</v>
      </c>
      <c r="J19" s="2">
        <v>95</v>
      </c>
      <c r="K19" s="13">
        <f t="shared" si="1"/>
        <v>584.25</v>
      </c>
      <c r="L19" s="9">
        <v>0.25</v>
      </c>
      <c r="M19" s="15">
        <f t="shared" si="2"/>
        <v>146.0625</v>
      </c>
      <c r="N19" s="16">
        <f t="shared" si="3"/>
        <v>730.3125</v>
      </c>
      <c r="P19" s="5"/>
    </row>
    <row r="20" spans="1:16" x14ac:dyDescent="0.25">
      <c r="A20" s="2">
        <v>12</v>
      </c>
      <c r="B20" s="2" t="s">
        <v>58</v>
      </c>
      <c r="C20" s="2" t="s">
        <v>59</v>
      </c>
      <c r="D20" s="2" t="s">
        <v>60</v>
      </c>
      <c r="E20" s="2" t="s">
        <v>61</v>
      </c>
      <c r="F20" s="13">
        <v>1800</v>
      </c>
      <c r="G20" s="9">
        <v>0.23</v>
      </c>
      <c r="H20" s="14">
        <f t="shared" si="0"/>
        <v>414</v>
      </c>
      <c r="I20" s="13">
        <f t="shared" si="4"/>
        <v>2214</v>
      </c>
      <c r="J20" s="2">
        <v>2</v>
      </c>
      <c r="K20" s="13">
        <f t="shared" si="1"/>
        <v>4428</v>
      </c>
      <c r="L20" s="9">
        <v>0.2</v>
      </c>
      <c r="M20" s="15">
        <f t="shared" si="2"/>
        <v>885.60000000000036</v>
      </c>
      <c r="N20" s="16">
        <f t="shared" si="3"/>
        <v>5313.6</v>
      </c>
      <c r="P20" s="5"/>
    </row>
    <row r="21" spans="1:16" x14ac:dyDescent="0.25">
      <c r="A21" s="2">
        <v>13</v>
      </c>
      <c r="B21" s="2" t="s">
        <v>62</v>
      </c>
      <c r="C21" s="2" t="s">
        <v>59</v>
      </c>
      <c r="D21" s="2" t="s">
        <v>60</v>
      </c>
      <c r="E21" s="2" t="s">
        <v>63</v>
      </c>
      <c r="F21" s="13">
        <v>1350</v>
      </c>
      <c r="G21" s="9">
        <v>0.23</v>
      </c>
      <c r="H21" s="14">
        <f t="shared" si="0"/>
        <v>310.5</v>
      </c>
      <c r="I21" s="13">
        <f t="shared" si="4"/>
        <v>1660.5</v>
      </c>
      <c r="J21" s="2">
        <v>4</v>
      </c>
      <c r="K21" s="13">
        <f t="shared" si="1"/>
        <v>6642</v>
      </c>
      <c r="L21" s="9">
        <v>0.2</v>
      </c>
      <c r="M21" s="15">
        <f t="shared" si="2"/>
        <v>1328.3999999999996</v>
      </c>
      <c r="N21" s="16">
        <f t="shared" si="3"/>
        <v>7970.4</v>
      </c>
      <c r="P21" s="5"/>
    </row>
    <row r="22" spans="1:16" x14ac:dyDescent="0.25">
      <c r="A22" s="2">
        <v>14</v>
      </c>
      <c r="B22" s="2" t="s">
        <v>64</v>
      </c>
      <c r="C22" s="2" t="s">
        <v>24</v>
      </c>
      <c r="D22" s="2" t="s">
        <v>65</v>
      </c>
      <c r="E22" s="2" t="s">
        <v>66</v>
      </c>
      <c r="F22" s="13">
        <v>90</v>
      </c>
      <c r="G22" s="9">
        <v>0.23</v>
      </c>
      <c r="H22" s="14">
        <f t="shared" si="0"/>
        <v>20.7</v>
      </c>
      <c r="I22" s="13">
        <f t="shared" si="4"/>
        <v>110.7</v>
      </c>
      <c r="J22" s="2">
        <v>3</v>
      </c>
      <c r="K22" s="13">
        <f t="shared" si="1"/>
        <v>332.1</v>
      </c>
      <c r="L22" s="9">
        <v>0.25</v>
      </c>
      <c r="M22" s="15">
        <f t="shared" si="2"/>
        <v>83.024999999999977</v>
      </c>
      <c r="N22" s="16">
        <f t="shared" si="3"/>
        <v>415.125</v>
      </c>
      <c r="P22" s="5"/>
    </row>
    <row r="23" spans="1:16" x14ac:dyDescent="0.25">
      <c r="A23" s="2">
        <v>15</v>
      </c>
      <c r="B23" s="2" t="s">
        <v>67</v>
      </c>
      <c r="C23" s="2" t="s">
        <v>68</v>
      </c>
      <c r="D23" s="2" t="s">
        <v>69</v>
      </c>
      <c r="E23" s="2" t="s">
        <v>70</v>
      </c>
      <c r="F23" s="13">
        <v>170</v>
      </c>
      <c r="G23" s="9">
        <v>0.23</v>
      </c>
      <c r="H23" s="14">
        <f t="shared" si="0"/>
        <v>39.1</v>
      </c>
      <c r="I23" s="13">
        <f t="shared" si="4"/>
        <v>209.1</v>
      </c>
      <c r="J23" s="2">
        <v>5</v>
      </c>
      <c r="K23" s="13">
        <f t="shared" si="1"/>
        <v>1045.5</v>
      </c>
      <c r="L23" s="9">
        <v>0.25</v>
      </c>
      <c r="M23" s="15">
        <f t="shared" si="2"/>
        <v>261.375</v>
      </c>
      <c r="N23" s="16">
        <f t="shared" si="3"/>
        <v>1306.875</v>
      </c>
      <c r="P23" s="5"/>
    </row>
    <row r="24" spans="1:16" x14ac:dyDescent="0.25">
      <c r="A24" s="2">
        <v>16</v>
      </c>
      <c r="B24" s="2" t="s">
        <v>71</v>
      </c>
      <c r="C24" s="2" t="s">
        <v>72</v>
      </c>
      <c r="D24" s="2" t="s">
        <v>73</v>
      </c>
      <c r="E24" s="2" t="s">
        <v>74</v>
      </c>
      <c r="F24" s="13">
        <v>120</v>
      </c>
      <c r="G24" s="9">
        <v>0.23</v>
      </c>
      <c r="H24" s="14">
        <f t="shared" si="0"/>
        <v>27.6</v>
      </c>
      <c r="I24" s="13">
        <f t="shared" si="4"/>
        <v>147.6</v>
      </c>
      <c r="J24" s="2">
        <v>1</v>
      </c>
      <c r="K24" s="13">
        <f t="shared" si="1"/>
        <v>147.6</v>
      </c>
      <c r="L24" s="9">
        <v>0.25</v>
      </c>
      <c r="M24" s="15">
        <f t="shared" si="2"/>
        <v>36.900000000000006</v>
      </c>
      <c r="N24" s="16">
        <f t="shared" si="3"/>
        <v>184.5</v>
      </c>
      <c r="P24" s="5"/>
    </row>
    <row r="25" spans="1:16" x14ac:dyDescent="0.25">
      <c r="A25" s="2">
        <v>17</v>
      </c>
      <c r="B25" s="2" t="s">
        <v>75</v>
      </c>
      <c r="C25" s="2" t="s">
        <v>24</v>
      </c>
      <c r="D25" s="2" t="s">
        <v>76</v>
      </c>
      <c r="E25" s="2" t="s">
        <v>77</v>
      </c>
      <c r="F25" s="13">
        <v>2.2000000000000002</v>
      </c>
      <c r="G25" s="9">
        <v>0.23</v>
      </c>
      <c r="H25" s="14">
        <f t="shared" si="0"/>
        <v>0.50600000000000012</v>
      </c>
      <c r="I25" s="13">
        <f t="shared" si="4"/>
        <v>2.7060000000000004</v>
      </c>
      <c r="J25" s="2">
        <v>120</v>
      </c>
      <c r="K25" s="13">
        <f t="shared" si="1"/>
        <v>324.72000000000003</v>
      </c>
      <c r="L25" s="9">
        <v>0.2</v>
      </c>
      <c r="M25" s="15">
        <f t="shared" si="2"/>
        <v>64.944000000000017</v>
      </c>
      <c r="N25" s="16">
        <f t="shared" si="3"/>
        <v>389.66400000000004</v>
      </c>
      <c r="P25" s="5"/>
    </row>
    <row r="26" spans="1:16" x14ac:dyDescent="0.25">
      <c r="A26" s="2">
        <v>18</v>
      </c>
      <c r="B26" s="2" t="s">
        <v>78</v>
      </c>
      <c r="C26" s="2" t="s">
        <v>24</v>
      </c>
      <c r="D26" s="2" t="s">
        <v>79</v>
      </c>
      <c r="E26" s="2" t="s">
        <v>80</v>
      </c>
      <c r="F26" s="13">
        <v>120</v>
      </c>
      <c r="G26" s="9">
        <v>0.23</v>
      </c>
      <c r="H26" s="14">
        <f t="shared" si="0"/>
        <v>27.6</v>
      </c>
      <c r="I26" s="13">
        <f t="shared" si="4"/>
        <v>147.6</v>
      </c>
      <c r="J26" s="2">
        <v>2</v>
      </c>
      <c r="K26" s="13">
        <f t="shared" si="1"/>
        <v>295.2</v>
      </c>
      <c r="L26" s="9">
        <v>0.2</v>
      </c>
      <c r="M26" s="15">
        <f t="shared" si="2"/>
        <v>59.04000000000002</v>
      </c>
      <c r="N26" s="16">
        <f t="shared" si="3"/>
        <v>354.24</v>
      </c>
      <c r="P26" s="5"/>
    </row>
    <row r="27" spans="1:16" x14ac:dyDescent="0.25">
      <c r="A27" s="2">
        <v>19</v>
      </c>
      <c r="B27" s="2" t="s">
        <v>81</v>
      </c>
      <c r="C27" s="2" t="s">
        <v>24</v>
      </c>
      <c r="D27" s="2" t="s">
        <v>76</v>
      </c>
      <c r="E27" s="2" t="s">
        <v>82</v>
      </c>
      <c r="F27" s="13">
        <v>4.5</v>
      </c>
      <c r="G27" s="9">
        <v>0.23</v>
      </c>
      <c r="H27" s="14">
        <f t="shared" si="0"/>
        <v>1.0350000000000001</v>
      </c>
      <c r="I27" s="13">
        <f t="shared" si="4"/>
        <v>5.5350000000000001</v>
      </c>
      <c r="J27" s="2">
        <v>24</v>
      </c>
      <c r="K27" s="13">
        <f t="shared" si="1"/>
        <v>132.84</v>
      </c>
      <c r="L27" s="9">
        <v>0.25</v>
      </c>
      <c r="M27" s="15">
        <f t="shared" si="2"/>
        <v>33.210000000000008</v>
      </c>
      <c r="N27" s="16">
        <f t="shared" si="3"/>
        <v>166.05</v>
      </c>
      <c r="P27" s="5"/>
    </row>
    <row r="28" spans="1:16" x14ac:dyDescent="0.25">
      <c r="A28" s="2">
        <v>20</v>
      </c>
      <c r="B28" s="2" t="s">
        <v>83</v>
      </c>
      <c r="C28" s="2" t="s">
        <v>24</v>
      </c>
      <c r="D28" s="2" t="s">
        <v>76</v>
      </c>
      <c r="E28" s="2" t="s">
        <v>84</v>
      </c>
      <c r="F28" s="13">
        <v>6</v>
      </c>
      <c r="G28" s="9">
        <v>0.23</v>
      </c>
      <c r="H28" s="14">
        <f t="shared" si="0"/>
        <v>1.3800000000000001</v>
      </c>
      <c r="I28" s="13">
        <f t="shared" si="4"/>
        <v>7.38</v>
      </c>
      <c r="J28" s="2">
        <v>6</v>
      </c>
      <c r="K28" s="13">
        <f t="shared" si="1"/>
        <v>44.28</v>
      </c>
      <c r="L28" s="9">
        <v>0.25</v>
      </c>
      <c r="M28" s="15">
        <f t="shared" si="2"/>
        <v>11.07</v>
      </c>
      <c r="N28" s="16">
        <f t="shared" si="3"/>
        <v>55.35</v>
      </c>
      <c r="P28" s="5"/>
    </row>
    <row r="29" spans="1:16" x14ac:dyDescent="0.25">
      <c r="A29" s="2">
        <v>21</v>
      </c>
      <c r="B29" s="2" t="s">
        <v>85</v>
      </c>
      <c r="C29" s="2" t="s">
        <v>86</v>
      </c>
      <c r="D29" s="2" t="s">
        <v>87</v>
      </c>
      <c r="E29" s="2" t="s">
        <v>88</v>
      </c>
      <c r="F29" s="13">
        <v>65</v>
      </c>
      <c r="G29" s="9">
        <v>0.23</v>
      </c>
      <c r="H29" s="14">
        <f t="shared" si="0"/>
        <v>14.950000000000001</v>
      </c>
      <c r="I29" s="13">
        <f t="shared" si="4"/>
        <v>79.95</v>
      </c>
      <c r="J29" s="2">
        <v>6</v>
      </c>
      <c r="K29" s="13">
        <f t="shared" si="1"/>
        <v>479.70000000000005</v>
      </c>
      <c r="L29" s="9">
        <v>0.25</v>
      </c>
      <c r="M29" s="15">
        <f t="shared" si="2"/>
        <v>119.92499999999995</v>
      </c>
      <c r="N29" s="16">
        <f t="shared" si="3"/>
        <v>599.625</v>
      </c>
      <c r="P29" s="5"/>
    </row>
    <row r="30" spans="1:16" x14ac:dyDescent="0.25">
      <c r="A30" s="2">
        <v>22</v>
      </c>
      <c r="B30" s="2" t="s">
        <v>89</v>
      </c>
      <c r="C30" s="2" t="s">
        <v>24</v>
      </c>
      <c r="D30" s="2" t="s">
        <v>90</v>
      </c>
      <c r="E30" s="2" t="s">
        <v>91</v>
      </c>
      <c r="F30" s="13">
        <v>18</v>
      </c>
      <c r="G30" s="9">
        <v>0.23</v>
      </c>
      <c r="H30" s="14">
        <f t="shared" si="0"/>
        <v>4.1400000000000006</v>
      </c>
      <c r="I30" s="13">
        <f t="shared" si="4"/>
        <v>22.14</v>
      </c>
      <c r="J30" s="2">
        <v>120</v>
      </c>
      <c r="K30" s="13">
        <f t="shared" si="1"/>
        <v>2656.8</v>
      </c>
      <c r="L30" s="9">
        <v>0.2</v>
      </c>
      <c r="M30" s="15">
        <f t="shared" si="2"/>
        <v>531.36000000000013</v>
      </c>
      <c r="N30" s="16">
        <f t="shared" si="3"/>
        <v>3188.1600000000003</v>
      </c>
      <c r="P30" s="5"/>
    </row>
    <row r="31" spans="1:16" x14ac:dyDescent="0.25">
      <c r="A31" s="2">
        <v>23</v>
      </c>
      <c r="B31" s="2" t="s">
        <v>92</v>
      </c>
      <c r="C31" s="2" t="s">
        <v>24</v>
      </c>
      <c r="D31" s="2" t="s">
        <v>93</v>
      </c>
      <c r="E31" s="2" t="s">
        <v>94</v>
      </c>
      <c r="F31" s="13">
        <v>7.5</v>
      </c>
      <c r="G31" s="9">
        <v>0.23</v>
      </c>
      <c r="H31" s="14">
        <f t="shared" si="0"/>
        <v>1.7250000000000001</v>
      </c>
      <c r="I31" s="13">
        <f t="shared" si="4"/>
        <v>9.2249999999999996</v>
      </c>
      <c r="J31" s="2">
        <v>12</v>
      </c>
      <c r="K31" s="13">
        <f t="shared" si="1"/>
        <v>110.69999999999999</v>
      </c>
      <c r="L31" s="9">
        <v>0.2</v>
      </c>
      <c r="M31" s="15">
        <f t="shared" si="2"/>
        <v>22.139999999999986</v>
      </c>
      <c r="N31" s="16">
        <f t="shared" si="3"/>
        <v>132.83999999999997</v>
      </c>
      <c r="P31" s="5"/>
    </row>
    <row r="32" spans="1:16" x14ac:dyDescent="0.25">
      <c r="A32" s="2">
        <v>24</v>
      </c>
      <c r="B32" s="2" t="s">
        <v>95</v>
      </c>
      <c r="C32" s="2" t="s">
        <v>96</v>
      </c>
      <c r="D32" s="2" t="s">
        <v>97</v>
      </c>
      <c r="E32" s="2" t="s">
        <v>98</v>
      </c>
      <c r="F32" s="13">
        <v>50</v>
      </c>
      <c r="G32" s="9">
        <v>0.13500000000000001</v>
      </c>
      <c r="H32" s="14">
        <f t="shared" si="0"/>
        <v>6.75</v>
      </c>
      <c r="I32" s="13">
        <f t="shared" si="4"/>
        <v>61.5</v>
      </c>
      <c r="J32" s="2">
        <v>32</v>
      </c>
      <c r="K32" s="13">
        <f t="shared" si="1"/>
        <v>1968</v>
      </c>
      <c r="L32" s="9">
        <v>0.1</v>
      </c>
      <c r="M32" s="15">
        <f t="shared" si="2"/>
        <v>196.80000000000018</v>
      </c>
      <c r="N32" s="16">
        <f t="shared" si="3"/>
        <v>2164.8000000000002</v>
      </c>
      <c r="P32" s="5"/>
    </row>
    <row r="33" spans="1:16" x14ac:dyDescent="0.25">
      <c r="A33" s="2">
        <v>25</v>
      </c>
      <c r="B33" s="2" t="s">
        <v>99</v>
      </c>
      <c r="C33" s="2" t="s">
        <v>96</v>
      </c>
      <c r="D33" s="2" t="s">
        <v>97</v>
      </c>
      <c r="E33" s="2" t="s">
        <v>100</v>
      </c>
      <c r="F33" s="13">
        <v>110</v>
      </c>
      <c r="G33" s="9">
        <v>0.13500000000000001</v>
      </c>
      <c r="H33" s="14">
        <f t="shared" si="0"/>
        <v>14.850000000000001</v>
      </c>
      <c r="I33" s="13">
        <f t="shared" si="4"/>
        <v>135.30000000000001</v>
      </c>
      <c r="J33" s="2">
        <v>8</v>
      </c>
      <c r="K33" s="13">
        <f t="shared" si="1"/>
        <v>1082.4000000000001</v>
      </c>
      <c r="L33" s="9">
        <v>0.3</v>
      </c>
      <c r="M33" s="15">
        <f t="shared" si="2"/>
        <v>324.72000000000003</v>
      </c>
      <c r="N33" s="16">
        <f t="shared" si="3"/>
        <v>1407.1200000000001</v>
      </c>
      <c r="P33" s="5"/>
    </row>
    <row r="34" spans="1:16" x14ac:dyDescent="0.25">
      <c r="M34" s="14"/>
      <c r="N34" s="14"/>
    </row>
    <row r="35" spans="1:16" x14ac:dyDescent="0.25">
      <c r="M35" s="14"/>
      <c r="N35" s="14"/>
    </row>
    <row r="36" spans="1:16" x14ac:dyDescent="0.25">
      <c r="I36" s="6" t="s">
        <v>101</v>
      </c>
      <c r="K36" s="17">
        <f>SUM(K9:K33)</f>
        <v>29179.289999999997</v>
      </c>
      <c r="L36" s="8"/>
      <c r="M36" s="15">
        <f>SUM(M9:M33)</f>
        <v>6092.2515000000012</v>
      </c>
      <c r="N36" s="18">
        <f>SUM(N9:N33)</f>
        <v>35271.541499999999</v>
      </c>
    </row>
    <row r="38" spans="1:16" x14ac:dyDescent="0.25">
      <c r="F38" s="2"/>
      <c r="G38" s="3"/>
      <c r="I38" s="2"/>
      <c r="J38" s="2"/>
      <c r="K38" s="4"/>
      <c r="L38" s="3"/>
      <c r="M38" s="4"/>
      <c r="N38" s="4"/>
      <c r="O38" s="7"/>
    </row>
    <row r="39" spans="1:16" x14ac:dyDescent="0.25">
      <c r="F39" s="2"/>
      <c r="G39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ff8c8b6-279e-4bb3-8bbb-a892dcc5acef}" enabled="1" method="Privileged" siteId="{501dcf78-e96e-4862-8987-fa2d9ae1fdc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OF MATERIALS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Araujo</dc:creator>
  <cp:keywords/>
  <dc:description/>
  <cp:lastModifiedBy>Melissa Araujo</cp:lastModifiedBy>
  <cp:revision/>
  <dcterms:created xsi:type="dcterms:W3CDTF">2026-01-28T14:09:14Z</dcterms:created>
  <dcterms:modified xsi:type="dcterms:W3CDTF">2026-01-28T14:49:20Z</dcterms:modified>
  <cp:category/>
  <cp:contentStatus/>
</cp:coreProperties>
</file>